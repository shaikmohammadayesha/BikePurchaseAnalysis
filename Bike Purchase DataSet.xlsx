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tics\Excel\Projects\Bike Purchase\"/>
    </mc:Choice>
  </mc:AlternateContent>
  <xr:revisionPtr revIDLastSave="0" documentId="8_{D5E1CEC0-0918-4225-9C81-E642FBEDC854}" xr6:coauthVersionLast="47" xr6:coauthVersionMax="47" xr10:uidLastSave="{00000000-0000-0000-0000-000000000000}"/>
  <bookViews>
    <workbookView xWindow="-110" yWindow="-110" windowWidth="19420" windowHeight="12220" activeTab="3" xr2:uid="{00000000-000D-0000-FFFF-FFFF00000000}"/>
  </bookViews>
  <sheets>
    <sheet name="bike_buyers" sheetId="1" r:id="rId1"/>
    <sheet name="working Sheet" sheetId="4" r:id="rId2"/>
    <sheet name="pivot table" sheetId="3" r:id="rId3"/>
    <sheet name="Dashbo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7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<sst xmlns="http://schemas.openxmlformats.org/spreadsheetml/2006/main" count="16475" uniqueCount="51">
  <si>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</si>
  <si>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</si>
  <si>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</si>
  <si>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</si>
  <si>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</si>
  <si>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</si>
  <si>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</si>
  <si>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</si>
  <si>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</si>
  <si>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</si>
  <si>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</si>
  <si>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</si>
  <si>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</si>
  <si>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</si>
  <si>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</si>
  <si>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</si>
  <si>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</si>
  <si>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</si>
  <si>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</si>
  <si>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</si>
  <si>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</si>
  <si>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</si>
  <si>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</si>
  <si>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</si>
  <si>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</si>
  <si>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</si>
  <si>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</si>
  <si>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</si>
  <si>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</si>
  <si>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</si>
  <si>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</si>
  <si>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</si>
  <si>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</si>
  <si>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</si>
  <si>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</si>
  <si>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</si>
  <si>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</si>
  <si>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</si>
  <si>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</si>
  <si>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</si>
  <si>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</si>
  <si>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</si>
  <si>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</si>
  <si>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Column Labels</t>
  </si>
  <si>
    <t>Average of Income</t>
  </si>
  <si>
    <t>Count of Purchased Bike</t>
  </si>
  <si>
    <t>More than 10 Miles</t>
  </si>
  <si>
    <t>Adolescent</t>
  </si>
  <si>
    <t>Middle Age</t>
  </si>
  <si>
    <t>OLD</t>
  </si>
  <si>
    <t>Bike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</si>
</sst>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73"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73" fontId="0" fillId="0" borderId="0" xfId="42" applyNumberFormat="1" applyFont="1"/>
    <xf numFmtId="0" fontId="0" fillId="0" borderId="0" xfId="0" pivotButton="1"/>
    <xf numFmtId="0" fontId="0" fillId="0" borderId="0" xfId="0" applyAlignment="1">
      <alignment horizontal="left"/>
    </xf>
    <xf numFmtId="4" fontId="0" fillId="0" borderId="0" xfId="0" applyNumberFormat="1"/>
    <xf numFmtId="3"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3" formatCode="#,##0"/>
    </dxf>
    <dxf>
      <numFmt numFmtId="4" formatCode="#,##0.00"/>
    </dxf>
  </dxfs>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3274-4B83-BDF7-69D9C6E0CFF5}"/>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3274-4B83-BDF7-69D9C6E0CFF5}"/>
            </c:ext>
          </c:extLst>
        </c:ser>
        <c:dLbls>
          <c:dLblPos val="outEnd"/>
          <c:showLegendKey val="0"/>
          <c:showVal val="1"/>
          <c:showCatName val="0"/>
          <c:showSerName val="0"/>
          <c:showPercent val="0"/>
          <c:showBubbleSize val="0"/>
        </c:dLbls>
        <c:gapWidth val="219"/>
        <c:overlap val="-27"/>
        <c:axId val="1150033503"/>
        <c:axId val="1150031583"/>
      </c:barChart>
      <c:catAx>
        <c:axId val="115003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31583"/>
        <c:crosses val="autoZero"/>
        <c:auto val="1"/>
        <c:lblAlgn val="ctr"/>
        <c:lblOffset val="100"/>
        <c:noMultiLvlLbl val="0"/>
      </c:catAx>
      <c:valAx>
        <c:axId val="11500315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33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E4F-4723-A708-A98E3A78B1A7}"/>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3-5E4F-4723-A708-A98E3A78B1A7}"/>
            </c:ext>
          </c:extLst>
        </c:ser>
        <c:dLbls>
          <c:showLegendKey val="0"/>
          <c:showVal val="0"/>
          <c:showCatName val="0"/>
          <c:showSerName val="0"/>
          <c:showPercent val="0"/>
          <c:showBubbleSize val="0"/>
        </c:dLbls>
        <c:smooth val="0"/>
        <c:axId val="1997210191"/>
        <c:axId val="1997211631"/>
      </c:lineChart>
      <c:catAx>
        <c:axId val="199721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211631"/>
        <c:crosses val="autoZero"/>
        <c:auto val="1"/>
        <c:lblAlgn val="ctr"/>
        <c:lblOffset val="100"/>
        <c:noMultiLvlLbl val="0"/>
      </c:catAx>
      <c:valAx>
        <c:axId val="199721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21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340</c:v>
                </c:pt>
                <c:pt idx="2">
                  <c:v>120</c:v>
                </c:pt>
              </c:numCache>
            </c:numRef>
          </c:val>
          <c:smooth val="0"/>
          <c:extLst>
            <c:ext xmlns:c16="http://schemas.microsoft.com/office/drawing/2014/chart" uri="{C3380CC4-5D6E-409C-BE32-E72D297353CC}">
              <c16:uniqueId val="{00000000-F98B-45A9-B4D0-D2870D7C68BD}"/>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41</c:v>
                </c:pt>
                <c:pt idx="1">
                  <c:v>399</c:v>
                </c:pt>
                <c:pt idx="2">
                  <c:v>55</c:v>
                </c:pt>
              </c:numCache>
            </c:numRef>
          </c:val>
          <c:smooth val="0"/>
          <c:extLst>
            <c:ext xmlns:c16="http://schemas.microsoft.com/office/drawing/2014/chart" uri="{C3380CC4-5D6E-409C-BE32-E72D297353CC}">
              <c16:uniqueId val="{00000001-F98B-45A9-B4D0-D2870D7C68BD}"/>
            </c:ext>
          </c:extLst>
        </c:ser>
        <c:dLbls>
          <c:showLegendKey val="0"/>
          <c:showVal val="0"/>
          <c:showCatName val="0"/>
          <c:showSerName val="0"/>
          <c:showPercent val="0"/>
          <c:showBubbleSize val="0"/>
        </c:dLbls>
        <c:smooth val="0"/>
        <c:axId val="1937624799"/>
        <c:axId val="1937633439"/>
      </c:lineChart>
      <c:catAx>
        <c:axId val="1937624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633439"/>
        <c:crosses val="autoZero"/>
        <c:auto val="1"/>
        <c:lblAlgn val="ctr"/>
        <c:lblOffset val="100"/>
        <c:noMultiLvlLbl val="0"/>
      </c:catAx>
      <c:valAx>
        <c:axId val="19376334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62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74E2-4BA4-BD76-47DA58712535}"/>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74E2-4BA4-BD76-47DA58712535}"/>
            </c:ext>
          </c:extLst>
        </c:ser>
        <c:dLbls>
          <c:dLblPos val="outEnd"/>
          <c:showLegendKey val="0"/>
          <c:showVal val="1"/>
          <c:showCatName val="0"/>
          <c:showSerName val="0"/>
          <c:showPercent val="0"/>
          <c:showBubbleSize val="0"/>
        </c:dLbls>
        <c:gapWidth val="219"/>
        <c:overlap val="-27"/>
        <c:axId val="1150033503"/>
        <c:axId val="1150031583"/>
      </c:barChart>
      <c:catAx>
        <c:axId val="115003350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150031583"/>
        <c:crosses val="autoZero"/>
        <c:auto val="1"/>
        <c:lblAlgn val="ctr"/>
        <c:lblOffset val="100"/>
        <c:noMultiLvlLbl val="0"/>
      </c:catAx>
      <c:valAx>
        <c:axId val="115003158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crossAx val="1150033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2A90-4F6D-81CA-68B844DFF551}"/>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2A90-4F6D-81CA-68B844DFF551}"/>
            </c:ext>
          </c:extLst>
        </c:ser>
        <c:dLbls>
          <c:showLegendKey val="0"/>
          <c:showVal val="0"/>
          <c:showCatName val="0"/>
          <c:showSerName val="0"/>
          <c:showPercent val="0"/>
          <c:showBubbleSize val="0"/>
        </c:dLbls>
        <c:smooth val="0"/>
        <c:axId val="1997210191"/>
        <c:axId val="1997211631"/>
      </c:lineChart>
      <c:catAx>
        <c:axId val="199721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211631"/>
        <c:crosses val="autoZero"/>
        <c:auto val="1"/>
        <c:lblAlgn val="ctr"/>
        <c:lblOffset val="100"/>
        <c:noMultiLvlLbl val="0"/>
      </c:catAx>
      <c:valAx>
        <c:axId val="199721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21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DataSet.xlsx]pivot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340</c:v>
                </c:pt>
                <c:pt idx="2">
                  <c:v>120</c:v>
                </c:pt>
              </c:numCache>
            </c:numRef>
          </c:val>
          <c:smooth val="0"/>
          <c:extLst>
            <c:ext xmlns:c16="http://schemas.microsoft.com/office/drawing/2014/chart" uri="{C3380CC4-5D6E-409C-BE32-E72D297353CC}">
              <c16:uniqueId val="{00000000-81BD-491D-8499-FFB1280EC6BA}"/>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41</c:v>
                </c:pt>
                <c:pt idx="1">
                  <c:v>399</c:v>
                </c:pt>
                <c:pt idx="2">
                  <c:v>55</c:v>
                </c:pt>
              </c:numCache>
            </c:numRef>
          </c:val>
          <c:smooth val="0"/>
          <c:extLst>
            <c:ext xmlns:c16="http://schemas.microsoft.com/office/drawing/2014/chart" uri="{C3380CC4-5D6E-409C-BE32-E72D297353CC}">
              <c16:uniqueId val="{00000001-81BD-491D-8499-FFB1280EC6BA}"/>
            </c:ext>
          </c:extLst>
        </c:ser>
        <c:dLbls>
          <c:showLegendKey val="0"/>
          <c:showVal val="0"/>
          <c:showCatName val="0"/>
          <c:showSerName val="0"/>
          <c:showPercent val="0"/>
          <c:showBubbleSize val="0"/>
        </c:dLbls>
        <c:smooth val="0"/>
        <c:axId val="1937624799"/>
        <c:axId val="1937633439"/>
      </c:lineChart>
      <c:catAx>
        <c:axId val="1937624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633439"/>
        <c:crosses val="autoZero"/>
        <c:auto val="1"/>
        <c:lblAlgn val="ctr"/>
        <c:lblOffset val="100"/>
        <c:noMultiLvlLbl val="0"/>
      </c:catAx>
      <c:valAx>
        <c:axId val="19376334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62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558800</xdr:colOff>
      <xdr:row>0</xdr:row>
      <xdr:rowOff>60324</xdr:rowOff>
    </xdr:from>
    <xdr:to>
      <xdr:col>12</xdr:col>
      <xdr:colOff>254000</xdr:colOff>
      <xdr:row>17</xdr:row>
      <xdr:rowOff>152399</xdr:rowOff>
    </xdr:to>
    <xdr:graphicFrame macro="">
      <xdr:nvGraphicFramePr>
        <xdr:cNvPr id="2" name="Chart 1">
          <a:extLst>
            <a:ext uri="{FF2B5EF4-FFF2-40B4-BE49-F238E27FC236}">
              <a16:creationId xmlns:a16="http://schemas.microsoft.com/office/drawing/2014/main" id="{7E329264-D1CE-3055-C0A2-75E4DD29B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19</xdr:row>
      <xdr:rowOff>142875</xdr:rowOff>
    </xdr:from>
    <xdr:to>
      <xdr:col>12</xdr:col>
      <xdr:colOff>323850</xdr:colOff>
      <xdr:row>34</xdr:row>
      <xdr:rowOff>123825</xdr:rowOff>
    </xdr:to>
    <xdr:graphicFrame macro="">
      <xdr:nvGraphicFramePr>
        <xdr:cNvPr id="3" name="Chart 2">
          <a:extLst>
            <a:ext uri="{FF2B5EF4-FFF2-40B4-BE49-F238E27FC236}">
              <a16:creationId xmlns:a16="http://schemas.microsoft.com/office/drawing/2014/main" id="{45208169-0041-34C0-EDEB-3845C7EEB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121709</xdr:colOff>
      <xdr:row>35</xdr:row>
      <xdr:rowOff>130645</xdr:rowOff>
    </xdr:from>
    <xdr:to>
      <xdr:col>11</xdr:col>
      <xdr:colOff>278107</xdr:colOff>
      <xdr:row>50</xdr:row>
      <xdr:rowOff>139817</xdr:rowOff>
    </xdr:to>
    <xdr:graphicFrame macro="">
      <xdr:nvGraphicFramePr>
        <xdr:cNvPr id="5" name="Chart 4">
          <a:extLst>
            <a:ext uri="{FF2B5EF4-FFF2-40B4-BE49-F238E27FC236}">
              <a16:creationId xmlns:a16="http://schemas.microsoft.com/office/drawing/2014/main" id="{E1753E67-BD1A-84EF-1256-36DF00AA7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146949</xdr:colOff>
      <xdr:row>5</xdr:row>
      <xdr:rowOff>39753</xdr:rowOff>
    </xdr:from>
    <xdr:to>
      <xdr:col>7</xdr:col>
      <xdr:colOff>134938</xdr:colOff>
      <xdr:row>20</xdr:row>
      <xdr:rowOff>79375</xdr:rowOff>
    </xdr:to>
    <xdr:graphicFrame macro="">
      <xdr:nvGraphicFramePr>
        <xdr:cNvPr id="2" name="Chart 1">
          <a:extLst>
            <a:ext uri="{FF2B5EF4-FFF2-40B4-BE49-F238E27FC236}">
              <a16:creationId xmlns:a16="http://schemas.microsoft.com/office/drawing/2014/main" id="{C1EE6674-BB02-4A4E-9584-489A83704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176495</xdr:colOff>
      <xdr:row>20</xdr:row>
      <xdr:rowOff>142876</xdr:rowOff>
    </xdr:from>
    <xdr:to>
      <xdr:col>10</xdr:col>
      <xdr:colOff>215725</xdr:colOff>
      <xdr:row>34</xdr:row>
      <xdr:rowOff>136657</xdr:rowOff>
    </xdr:to>
    <xdr:graphicFrame macro="">
      <xdr:nvGraphicFramePr>
        <xdr:cNvPr id="3" name="Chart 2">
          <a:extLst>
            <a:ext uri="{FF2B5EF4-FFF2-40B4-BE49-F238E27FC236}">
              <a16:creationId xmlns:a16="http://schemas.microsoft.com/office/drawing/2014/main" id="{9EC17C23-55D6-46D0-810B-902FEBD43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349249</xdr:colOff>
      <xdr:row>5</xdr:row>
      <xdr:rowOff>1</xdr:rowOff>
    </xdr:from>
    <xdr:to>
      <xdr:col>10</xdr:col>
      <xdr:colOff>71437</xdr:colOff>
      <xdr:row>19</xdr:row>
      <xdr:rowOff>142876</xdr:rowOff>
    </xdr:to>
    <xdr:graphicFrame macro="">
      <xdr:nvGraphicFramePr>
        <xdr:cNvPr id="10" name="Chart 9">
          <a:extLst>
            <a:ext uri="{FF2B5EF4-FFF2-40B4-BE49-F238E27FC236}">
              <a16:creationId xmlns:a16="http://schemas.microsoft.com/office/drawing/2014/main" id="{7D61E4A6-87DF-4D7D-A379-36E370747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93662</xdr:colOff>
      <xdr:row>6</xdr:row>
      <xdr:rowOff>3175</xdr:rowOff>
    </xdr:from>
    <xdr:to>
      <xdr:col>3</xdr:col>
      <xdr:colOff>88899</xdr:colOff>
      <xdr:row>11</xdr:row>
      <xdr:rowOff>142875</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F08AC240-ECA7-DA6F-AC8C-DDABCA0576B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3662" y="1098550"/>
              <a:ext cx="1828800" cy="1052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109538</xdr:colOff>
      <xdr:row>12</xdr:row>
      <xdr:rowOff>169863</xdr:rowOff>
    </xdr:from>
    <xdr:to>
      <xdr:col>3</xdr:col>
      <xdr:colOff>104775</xdr:colOff>
      <xdr:row>20</xdr:row>
      <xdr:rowOff>23813</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6F706C2A-266B-C2EE-2CE0-7BCF0A3806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538" y="2360613"/>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125413</xdr:colOff>
      <xdr:row>21</xdr:row>
      <xdr:rowOff>19050</xdr:rowOff>
    </xdr:from>
    <xdr:to>
      <xdr:col>3</xdr:col>
      <xdr:colOff>120650</xdr:colOff>
      <xdr:row>31</xdr:row>
      <xdr:rowOff>39688</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A491483E-91AA-E886-E275-481AACA92DA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5413" y="3852863"/>
              <a:ext cx="1828800" cy="1846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3-BE0030AU" refreshedDate="45990.68896053241" createdVersion="8" refreshedVersion="8" minRefreshableVersion="3" recordCount="1026" xr:uid="{9FBFAF41-0B34-45B9-987E-88A2079CA240}">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80059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BE968-B69E-491D-9988-2AB3557A4A9F}" name="PivotTable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D43" firstHeaderRow="1" firstDataRow="2" firstDataCol="1"/>
  <pivotFields count="14">
    <pivotField showAll="0"/>
    <pivotField showAll="0">
      <items count="3">
        <item x="0"/>
        <item x="1"/>
        <item t="default"/>
      </items>
    </pivotField>
    <pivotField showAll="0"/>
    <pivotField numFmtId="173" showAll="0"/>
    <pivotField showAll="0"/>
    <pivotField showAll="0"/>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6216BC-5558-4B31-A323-D7482A10CCD1}" name="PivotTable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73"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FB2017-7211-4905-BC19-595839ABA110}" name="PivotTable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3"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formats count="2">
    <format dxfId="43">
      <pivotArea dataOnly="0" labelOnly="1" outline="0" axis="axisValues" fieldPosition="0"/>
    </format>
    <format dxfId="4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D295D2E-B1BA-4B42-A116-D927CD5A55B6}" sourceName="Marital Status">
  <pivotTables>
    <pivotTable tabId="3" name="PivotTable1"/>
    <pivotTable tabId="3" name="PivotTable2"/>
    <pivotTable tabId="3" name="PivotTable4"/>
  </pivotTables>
  <data>
    <tabular pivotCacheId="12800597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D42159-C34C-44E6-B293-52730261A53B}" sourceName="Region">
  <pivotTables>
    <pivotTable tabId="3" name="PivotTable1"/>
    <pivotTable tabId="3" name="PivotTable2"/>
    <pivotTable tabId="3" name="PivotTable4"/>
  </pivotTables>
  <data>
    <tabular pivotCacheId="128005970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955DA26-C3F0-4C3F-B4C4-DB1235E9EF68}" sourceName="Education">
  <pivotTables>
    <pivotTable tabId="3" name="PivotTable1"/>
  </pivotTables>
  <data>
    <tabular pivotCacheId="128005970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711B06-3416-4250-A65F-693360248B4B}" cache="Slicer_Marital_Status" caption="Marital Status" rowHeight="241300"/>
  <slicer name="Region" xr10:uid="{AA4A3898-59D8-4F22-AFBA-2E51AC76B4CC}" cache="Slicer_Region" caption="Region" rowHeight="241300"/>
  <slicer name="Education" xr10:uid="{D12B3700-68F2-47A1-A54F-00CE550F6A98}"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90625" defaultRowHeight="14.5" x14ac:dyDescent="0.35"/>
  <cols>
    <col min="1" max="1" width="5.81640625" bestFit="1" customWidth="1"/>
    <col min="2" max="2" width="12.36328125" bestFit="1" customWidth="1"/>
    <col min="3" max="3" width="7" bestFit="1" customWidth="1"/>
    <col min="4" max="4" width="11.269531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B96F-8795-4168-B59F-C03924D0346B}">
  <dimension ref="A1:N1027"/>
  <sheetViews>
    <sheetView topLeftCell="D1001" workbookViewId="0">
      <selection activeCell="J1" sqref="J1"/>
    </sheetView>
  </sheetViews>
  <sheetFormatPr defaultRowHeight="14.5" x14ac:dyDescent="0.35"/>
  <cols>
    <col min="1" max="1" width="5.81640625" bestFit="1" customWidth="1"/>
    <col min="2" max="2" width="27.54296875" customWidth="1"/>
    <col min="3" max="3" width="9" customWidth="1"/>
    <col min="4" max="4" width="14.08984375" style="3" customWidth="1"/>
    <col min="5" max="5" width="9.81640625" customWidth="1"/>
    <col min="6" max="6" width="16.26953125" bestFit="1" customWidth="1"/>
    <col min="7" max="7" width="13" bestFit="1" customWidth="1"/>
    <col min="8" max="8" width="19" customWidth="1"/>
    <col min="9" max="9" width="10.453125" customWidth="1"/>
    <col min="10" max="10" width="32.90625" customWidth="1"/>
    <col min="11" max="11" width="13" bestFit="1" customWidth="1"/>
    <col min="12" max="12" width="5.90625" customWidth="1"/>
    <col min="13" max="13" width="11.36328125" bestFit="1" customWidth="1"/>
    <col min="14" max="14" width="19.5429687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26" si="15">IF(L963&gt;55,"OLD",IF(L963&gt;=31,"Middle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row r="1002" spans="1:14" x14ac:dyDescent="0.35">
      <c r="A1002">
        <v>13507</v>
      </c>
      <c r="B1002" t="s">
        <v>36</v>
      </c>
      <c r="C1002" t="s">
        <v>39</v>
      </c>
      <c r="D1002" s="3">
        <v>10000</v>
      </c>
      <c r="E1002">
        <v>2</v>
      </c>
      <c r="F1002" t="s">
        <v>19</v>
      </c>
      <c r="G1002" t="s">
        <v>25</v>
      </c>
      <c r="H1002" t="s">
        <v>15</v>
      </c>
      <c r="I1002">
        <v>0</v>
      </c>
      <c r="J1002" t="s">
        <v>26</v>
      </c>
      <c r="K1002" t="s">
        <v>17</v>
      </c>
      <c r="L1002">
        <v>50</v>
      </c>
      <c r="M1002" t="str">
        <f t="shared" si="15"/>
        <v>Middle Age</v>
      </c>
      <c r="N1002" t="s">
        <v>18</v>
      </c>
    </row>
    <row r="1003" spans="1:14" x14ac:dyDescent="0.35">
      <c r="A1003">
        <v>19280</v>
      </c>
      <c r="B1003" t="s">
        <v>36</v>
      </c>
      <c r="C1003" t="s">
        <v>38</v>
      </c>
      <c r="D1003" s="3">
        <v>120000</v>
      </c>
      <c r="E1003">
        <v>2</v>
      </c>
      <c r="F1003" t="s">
        <v>19</v>
      </c>
      <c r="G1003" t="s">
        <v>25</v>
      </c>
      <c r="H1003" t="s">
        <v>15</v>
      </c>
      <c r="I1003">
        <v>1</v>
      </c>
      <c r="J1003" t="s">
        <v>16</v>
      </c>
      <c r="K1003" t="s">
        <v>17</v>
      </c>
      <c r="L1003">
        <v>40</v>
      </c>
      <c r="M1003" t="str">
        <f t="shared" si="15"/>
        <v>Middle Age</v>
      </c>
      <c r="N1003" t="s">
        <v>15</v>
      </c>
    </row>
    <row r="1004" spans="1:14" x14ac:dyDescent="0.35">
      <c r="A1004">
        <v>22173</v>
      </c>
      <c r="B1004" t="s">
        <v>36</v>
      </c>
      <c r="C1004" t="s">
        <v>39</v>
      </c>
      <c r="D1004" s="3">
        <v>30000</v>
      </c>
      <c r="E1004">
        <v>3</v>
      </c>
      <c r="F1004" t="s">
        <v>27</v>
      </c>
      <c r="G1004" t="s">
        <v>14</v>
      </c>
      <c r="H1004" t="s">
        <v>18</v>
      </c>
      <c r="I1004">
        <v>2</v>
      </c>
      <c r="J1004" t="s">
        <v>26</v>
      </c>
      <c r="K1004" t="s">
        <v>24</v>
      </c>
      <c r="L1004">
        <v>54</v>
      </c>
      <c r="M1004" t="str">
        <f t="shared" si="15"/>
        <v>Middle Age</v>
      </c>
      <c r="N1004" t="s">
        <v>15</v>
      </c>
    </row>
    <row r="1005" spans="1:14" x14ac:dyDescent="0.35">
      <c r="A1005">
        <v>12697</v>
      </c>
      <c r="B1005" t="s">
        <v>37</v>
      </c>
      <c r="C1005" t="s">
        <v>39</v>
      </c>
      <c r="D1005" s="3">
        <v>90000</v>
      </c>
      <c r="E1005">
        <v>0</v>
      </c>
      <c r="F1005" t="s">
        <v>13</v>
      </c>
      <c r="G1005" t="s">
        <v>21</v>
      </c>
      <c r="H1005" t="s">
        <v>18</v>
      </c>
      <c r="I1005">
        <v>4</v>
      </c>
      <c r="J1005" t="s">
        <v>46</v>
      </c>
      <c r="K1005" t="s">
        <v>24</v>
      </c>
      <c r="L1005">
        <v>36</v>
      </c>
      <c r="M1005" t="str">
        <f t="shared" si="15"/>
        <v>Middle Age</v>
      </c>
      <c r="N1005" t="s">
        <v>18</v>
      </c>
    </row>
    <row r="1006" spans="1:14" x14ac:dyDescent="0.35">
      <c r="A1006">
        <v>11434</v>
      </c>
      <c r="B1006" t="s">
        <v>36</v>
      </c>
      <c r="C1006" t="s">
        <v>38</v>
      </c>
      <c r="D1006" s="3">
        <v>170000</v>
      </c>
      <c r="E1006">
        <v>5</v>
      </c>
      <c r="F1006" t="s">
        <v>19</v>
      </c>
      <c r="G1006" t="s">
        <v>21</v>
      </c>
      <c r="H1006" t="s">
        <v>15</v>
      </c>
      <c r="I1006">
        <v>0</v>
      </c>
      <c r="J1006" t="s">
        <v>16</v>
      </c>
      <c r="K1006" t="s">
        <v>17</v>
      </c>
      <c r="L1006">
        <v>55</v>
      </c>
      <c r="M1006" t="str">
        <f t="shared" si="15"/>
        <v>Middle Age</v>
      </c>
      <c r="N1006" t="s">
        <v>18</v>
      </c>
    </row>
    <row r="1007" spans="1:14" x14ac:dyDescent="0.35">
      <c r="A1007">
        <v>25323</v>
      </c>
      <c r="B1007" t="s">
        <v>36</v>
      </c>
      <c r="C1007" t="s">
        <v>38</v>
      </c>
      <c r="D1007" s="3">
        <v>40000</v>
      </c>
      <c r="E1007">
        <v>2</v>
      </c>
      <c r="F1007" t="s">
        <v>19</v>
      </c>
      <c r="G1007" t="s">
        <v>20</v>
      </c>
      <c r="H1007" t="s">
        <v>15</v>
      </c>
      <c r="I1007">
        <v>1</v>
      </c>
      <c r="J1007" t="s">
        <v>26</v>
      </c>
      <c r="K1007" t="s">
        <v>17</v>
      </c>
      <c r="L1007">
        <v>35</v>
      </c>
      <c r="M1007" t="str">
        <f t="shared" si="15"/>
        <v>Middle Age</v>
      </c>
      <c r="N1007" t="s">
        <v>15</v>
      </c>
    </row>
    <row r="1008" spans="1:14" x14ac:dyDescent="0.35">
      <c r="A1008">
        <v>23542</v>
      </c>
      <c r="B1008" t="s">
        <v>37</v>
      </c>
      <c r="C1008" t="s">
        <v>38</v>
      </c>
      <c r="D1008" s="3">
        <v>60000</v>
      </c>
      <c r="E1008">
        <v>1</v>
      </c>
      <c r="F1008" t="s">
        <v>19</v>
      </c>
      <c r="G1008" t="s">
        <v>14</v>
      </c>
      <c r="H1008" t="s">
        <v>18</v>
      </c>
      <c r="I1008">
        <v>1</v>
      </c>
      <c r="J1008" t="s">
        <v>16</v>
      </c>
      <c r="K1008" t="s">
        <v>24</v>
      </c>
      <c r="L1008">
        <v>45</v>
      </c>
      <c r="M1008" t="str">
        <f t="shared" si="15"/>
        <v>Middle Age</v>
      </c>
      <c r="N1008" t="s">
        <v>15</v>
      </c>
    </row>
    <row r="1009" spans="1:14" x14ac:dyDescent="0.35">
      <c r="A1009">
        <v>20870</v>
      </c>
      <c r="B1009" t="s">
        <v>37</v>
      </c>
      <c r="C1009" t="s">
        <v>39</v>
      </c>
      <c r="D1009" s="3">
        <v>10000</v>
      </c>
      <c r="E1009">
        <v>2</v>
      </c>
      <c r="F1009" t="s">
        <v>27</v>
      </c>
      <c r="G1009" t="s">
        <v>25</v>
      </c>
      <c r="H1009" t="s">
        <v>15</v>
      </c>
      <c r="I1009">
        <v>1</v>
      </c>
      <c r="J1009" t="s">
        <v>16</v>
      </c>
      <c r="K1009" t="s">
        <v>17</v>
      </c>
      <c r="L1009">
        <v>38</v>
      </c>
      <c r="M1009" t="str">
        <f t="shared" si="15"/>
        <v>Middle Age</v>
      </c>
      <c r="N1009" t="s">
        <v>15</v>
      </c>
    </row>
    <row r="1010" spans="1:14" x14ac:dyDescent="0.35">
      <c r="A1010">
        <v>23316</v>
      </c>
      <c r="B1010" t="s">
        <v>37</v>
      </c>
      <c r="C1010" t="s">
        <v>38</v>
      </c>
      <c r="D1010" s="3">
        <v>30000</v>
      </c>
      <c r="E1010">
        <v>3</v>
      </c>
      <c r="F1010" t="s">
        <v>19</v>
      </c>
      <c r="G1010" t="s">
        <v>20</v>
      </c>
      <c r="H1010" t="s">
        <v>18</v>
      </c>
      <c r="I1010">
        <v>2</v>
      </c>
      <c r="J1010" t="s">
        <v>26</v>
      </c>
      <c r="K1010" t="s">
        <v>24</v>
      </c>
      <c r="L1010">
        <v>59</v>
      </c>
      <c r="M1010" t="str">
        <f t="shared" si="15"/>
        <v>OLD</v>
      </c>
      <c r="N1010" t="s">
        <v>15</v>
      </c>
    </row>
    <row r="1011" spans="1:14" x14ac:dyDescent="0.35">
      <c r="A1011">
        <v>12610</v>
      </c>
      <c r="B1011" t="s">
        <v>36</v>
      </c>
      <c r="C1011" t="s">
        <v>39</v>
      </c>
      <c r="D1011" s="3">
        <v>30000</v>
      </c>
      <c r="E1011">
        <v>1</v>
      </c>
      <c r="F1011" t="s">
        <v>13</v>
      </c>
      <c r="G1011" t="s">
        <v>20</v>
      </c>
      <c r="H1011" t="s">
        <v>15</v>
      </c>
      <c r="I1011">
        <v>0</v>
      </c>
      <c r="J1011" t="s">
        <v>16</v>
      </c>
      <c r="K1011" t="s">
        <v>17</v>
      </c>
      <c r="L1011">
        <v>47</v>
      </c>
      <c r="M1011" t="str">
        <f t="shared" si="15"/>
        <v>Middle Age</v>
      </c>
      <c r="N1011" t="s">
        <v>18</v>
      </c>
    </row>
    <row r="1012" spans="1:14" x14ac:dyDescent="0.35">
      <c r="A1012">
        <v>27183</v>
      </c>
      <c r="B1012" t="s">
        <v>37</v>
      </c>
      <c r="C1012" t="s">
        <v>38</v>
      </c>
      <c r="D1012" s="3">
        <v>40000</v>
      </c>
      <c r="E1012">
        <v>2</v>
      </c>
      <c r="F1012" t="s">
        <v>19</v>
      </c>
      <c r="G1012" t="s">
        <v>20</v>
      </c>
      <c r="H1012" t="s">
        <v>15</v>
      </c>
      <c r="I1012">
        <v>1</v>
      </c>
      <c r="J1012" t="s">
        <v>26</v>
      </c>
      <c r="K1012" t="s">
        <v>17</v>
      </c>
      <c r="L1012">
        <v>35</v>
      </c>
      <c r="M1012" t="str">
        <f t="shared" si="15"/>
        <v>Middle Age</v>
      </c>
      <c r="N1012" t="s">
        <v>15</v>
      </c>
    </row>
    <row r="1013" spans="1:14" x14ac:dyDescent="0.35">
      <c r="A1013">
        <v>25940</v>
      </c>
      <c r="B1013" t="s">
        <v>37</v>
      </c>
      <c r="C1013" t="s">
        <v>38</v>
      </c>
      <c r="D1013" s="3">
        <v>20000</v>
      </c>
      <c r="E1013">
        <v>2</v>
      </c>
      <c r="F1013" t="s">
        <v>29</v>
      </c>
      <c r="G1013" t="s">
        <v>20</v>
      </c>
      <c r="H1013" t="s">
        <v>15</v>
      </c>
      <c r="I1013">
        <v>2</v>
      </c>
      <c r="J1013" t="s">
        <v>23</v>
      </c>
      <c r="K1013" t="s">
        <v>24</v>
      </c>
      <c r="L1013">
        <v>55</v>
      </c>
      <c r="M1013" t="str">
        <f t="shared" si="15"/>
        <v>Middle Age</v>
      </c>
      <c r="N1013" t="s">
        <v>15</v>
      </c>
    </row>
    <row r="1014" spans="1:14" x14ac:dyDescent="0.35">
      <c r="A1014">
        <v>25598</v>
      </c>
      <c r="B1014" t="s">
        <v>36</v>
      </c>
      <c r="C1014" t="s">
        <v>39</v>
      </c>
      <c r="D1014" s="3">
        <v>40000</v>
      </c>
      <c r="E1014">
        <v>0</v>
      </c>
      <c r="F1014" t="s">
        <v>31</v>
      </c>
      <c r="G1014" t="s">
        <v>20</v>
      </c>
      <c r="H1014" t="s">
        <v>15</v>
      </c>
      <c r="I1014">
        <v>0</v>
      </c>
      <c r="J1014" t="s">
        <v>16</v>
      </c>
      <c r="K1014" t="s">
        <v>17</v>
      </c>
      <c r="L1014">
        <v>36</v>
      </c>
      <c r="M1014" t="str">
        <f t="shared" si="15"/>
        <v>Middle Age</v>
      </c>
      <c r="N1014" t="s">
        <v>15</v>
      </c>
    </row>
    <row r="1015" spans="1:14" x14ac:dyDescent="0.35">
      <c r="A1015">
        <v>21564</v>
      </c>
      <c r="B1015" t="s">
        <v>37</v>
      </c>
      <c r="C1015" t="s">
        <v>39</v>
      </c>
      <c r="D1015" s="3">
        <v>80000</v>
      </c>
      <c r="E1015">
        <v>0</v>
      </c>
      <c r="F1015" t="s">
        <v>13</v>
      </c>
      <c r="G1015" t="s">
        <v>21</v>
      </c>
      <c r="H1015" t="s">
        <v>15</v>
      </c>
      <c r="I1015">
        <v>4</v>
      </c>
      <c r="J1015" t="s">
        <v>46</v>
      </c>
      <c r="K1015" t="s">
        <v>24</v>
      </c>
      <c r="L1015">
        <v>35</v>
      </c>
      <c r="M1015" t="str">
        <f t="shared" si="15"/>
        <v>Middle Age</v>
      </c>
      <c r="N1015" t="s">
        <v>18</v>
      </c>
    </row>
    <row r="1016" spans="1:14" x14ac:dyDescent="0.35">
      <c r="A1016">
        <v>19193</v>
      </c>
      <c r="B1016" t="s">
        <v>37</v>
      </c>
      <c r="C1016" t="s">
        <v>38</v>
      </c>
      <c r="D1016" s="3">
        <v>40000</v>
      </c>
      <c r="E1016">
        <v>2</v>
      </c>
      <c r="F1016" t="s">
        <v>19</v>
      </c>
      <c r="G1016" t="s">
        <v>20</v>
      </c>
      <c r="H1016" t="s">
        <v>15</v>
      </c>
      <c r="I1016">
        <v>0</v>
      </c>
      <c r="J1016" t="s">
        <v>26</v>
      </c>
      <c r="K1016" t="s">
        <v>17</v>
      </c>
      <c r="L1016">
        <v>35</v>
      </c>
      <c r="M1016" t="str">
        <f t="shared" si="15"/>
        <v>Middle Age</v>
      </c>
      <c r="N1016" t="s">
        <v>15</v>
      </c>
    </row>
    <row r="1017" spans="1:14" x14ac:dyDescent="0.35">
      <c r="A1017">
        <v>26412</v>
      </c>
      <c r="B1017" t="s">
        <v>36</v>
      </c>
      <c r="C1017" t="s">
        <v>39</v>
      </c>
      <c r="D1017" s="3">
        <v>80000</v>
      </c>
      <c r="E1017">
        <v>5</v>
      </c>
      <c r="F1017" t="s">
        <v>27</v>
      </c>
      <c r="G1017" t="s">
        <v>28</v>
      </c>
      <c r="H1017" t="s">
        <v>18</v>
      </c>
      <c r="I1017">
        <v>3</v>
      </c>
      <c r="J1017" t="s">
        <v>23</v>
      </c>
      <c r="K1017" t="s">
        <v>17</v>
      </c>
      <c r="L1017">
        <v>56</v>
      </c>
      <c r="M1017" t="str">
        <f t="shared" si="15"/>
        <v>OLD</v>
      </c>
      <c r="N1017" t="s">
        <v>18</v>
      </c>
    </row>
    <row r="1018" spans="1:14" x14ac:dyDescent="0.35">
      <c r="A1018">
        <v>27184</v>
      </c>
      <c r="B1018" t="s">
        <v>37</v>
      </c>
      <c r="C1018" t="s">
        <v>38</v>
      </c>
      <c r="D1018" s="3">
        <v>40000</v>
      </c>
      <c r="E1018">
        <v>2</v>
      </c>
      <c r="F1018" t="s">
        <v>19</v>
      </c>
      <c r="G1018" t="s">
        <v>20</v>
      </c>
      <c r="H1018" t="s">
        <v>18</v>
      </c>
      <c r="I1018">
        <v>1</v>
      </c>
      <c r="J1018" t="s">
        <v>16</v>
      </c>
      <c r="K1018" t="s">
        <v>17</v>
      </c>
      <c r="L1018">
        <v>34</v>
      </c>
      <c r="M1018" t="str">
        <f t="shared" si="15"/>
        <v>Middle Age</v>
      </c>
      <c r="N1018" t="s">
        <v>18</v>
      </c>
    </row>
    <row r="1019" spans="1:14" x14ac:dyDescent="0.35">
      <c r="A1019">
        <v>12590</v>
      </c>
      <c r="B1019" t="s">
        <v>37</v>
      </c>
      <c r="C1019" t="s">
        <v>38</v>
      </c>
      <c r="D1019" s="3">
        <v>30000</v>
      </c>
      <c r="E1019">
        <v>1</v>
      </c>
      <c r="F1019" t="s">
        <v>13</v>
      </c>
      <c r="G1019" t="s">
        <v>20</v>
      </c>
      <c r="H1019" t="s">
        <v>15</v>
      </c>
      <c r="I1019">
        <v>0</v>
      </c>
      <c r="J1019" t="s">
        <v>16</v>
      </c>
      <c r="K1019" t="s">
        <v>17</v>
      </c>
      <c r="L1019">
        <v>63</v>
      </c>
      <c r="M1019" t="str">
        <f t="shared" si="15"/>
        <v>OLD</v>
      </c>
      <c r="N1019" t="s">
        <v>18</v>
      </c>
    </row>
    <row r="1020" spans="1:14" x14ac:dyDescent="0.35">
      <c r="A1020">
        <v>17841</v>
      </c>
      <c r="B1020" t="s">
        <v>37</v>
      </c>
      <c r="C1020" t="s">
        <v>38</v>
      </c>
      <c r="D1020" s="3">
        <v>30000</v>
      </c>
      <c r="E1020">
        <v>0</v>
      </c>
      <c r="F1020" t="s">
        <v>19</v>
      </c>
      <c r="G1020" t="s">
        <v>20</v>
      </c>
      <c r="H1020" t="s">
        <v>18</v>
      </c>
      <c r="I1020">
        <v>1</v>
      </c>
      <c r="J1020" t="s">
        <v>16</v>
      </c>
      <c r="K1020" t="s">
        <v>17</v>
      </c>
      <c r="L1020">
        <v>29</v>
      </c>
      <c r="M1020" t="str">
        <f t="shared" si="15"/>
        <v>Adolescent</v>
      </c>
      <c r="N1020" t="s">
        <v>15</v>
      </c>
    </row>
    <row r="1021" spans="1:14" x14ac:dyDescent="0.35">
      <c r="A1021">
        <v>18283</v>
      </c>
      <c r="B1021" t="s">
        <v>37</v>
      </c>
      <c r="C1021" t="s">
        <v>39</v>
      </c>
      <c r="D1021" s="3">
        <v>100000</v>
      </c>
      <c r="E1021">
        <v>0</v>
      </c>
      <c r="F1021" t="s">
        <v>13</v>
      </c>
      <c r="G1021" t="s">
        <v>21</v>
      </c>
      <c r="H1021" t="s">
        <v>18</v>
      </c>
      <c r="I1021">
        <v>1</v>
      </c>
      <c r="J1021" t="s">
        <v>23</v>
      </c>
      <c r="K1021" t="s">
        <v>24</v>
      </c>
      <c r="L1021">
        <v>40</v>
      </c>
      <c r="M1021" t="str">
        <f t="shared" si="15"/>
        <v>Middle Age</v>
      </c>
      <c r="N1021" t="s">
        <v>18</v>
      </c>
    </row>
    <row r="1022" spans="1:14" x14ac:dyDescent="0.35">
      <c r="A1022">
        <v>18299</v>
      </c>
      <c r="B1022" t="s">
        <v>36</v>
      </c>
      <c r="C1022" t="s">
        <v>38</v>
      </c>
      <c r="D1022" s="3">
        <v>70000</v>
      </c>
      <c r="E1022">
        <v>5</v>
      </c>
      <c r="F1022" t="s">
        <v>19</v>
      </c>
      <c r="G1022" t="s">
        <v>14</v>
      </c>
      <c r="H1022" t="s">
        <v>15</v>
      </c>
      <c r="I1022">
        <v>2</v>
      </c>
      <c r="J1022" t="s">
        <v>23</v>
      </c>
      <c r="K1022" t="s">
        <v>24</v>
      </c>
      <c r="L1022">
        <v>44</v>
      </c>
      <c r="M1022" t="str">
        <f t="shared" si="15"/>
        <v>Middle Age</v>
      </c>
      <c r="N1022" t="s">
        <v>18</v>
      </c>
    </row>
    <row r="1023" spans="1:14" x14ac:dyDescent="0.35">
      <c r="A1023">
        <v>16466</v>
      </c>
      <c r="B1023" t="s">
        <v>37</v>
      </c>
      <c r="C1023" t="s">
        <v>39</v>
      </c>
      <c r="D1023" s="3">
        <v>20000</v>
      </c>
      <c r="E1023">
        <v>0</v>
      </c>
      <c r="F1023" t="s">
        <v>29</v>
      </c>
      <c r="G1023" t="s">
        <v>25</v>
      </c>
      <c r="H1023" t="s">
        <v>18</v>
      </c>
      <c r="I1023">
        <v>2</v>
      </c>
      <c r="J1023" t="s">
        <v>16</v>
      </c>
      <c r="K1023" t="s">
        <v>17</v>
      </c>
      <c r="L1023">
        <v>32</v>
      </c>
      <c r="M1023" t="str">
        <f t="shared" si="15"/>
        <v>Middle Age</v>
      </c>
      <c r="N1023" t="s">
        <v>15</v>
      </c>
    </row>
    <row r="1024" spans="1:14" x14ac:dyDescent="0.35">
      <c r="A1024">
        <v>19273</v>
      </c>
      <c r="B1024" t="s">
        <v>36</v>
      </c>
      <c r="C1024" t="s">
        <v>39</v>
      </c>
      <c r="D1024" s="3">
        <v>20000</v>
      </c>
      <c r="E1024">
        <v>2</v>
      </c>
      <c r="F1024" t="s">
        <v>19</v>
      </c>
      <c r="G1024" t="s">
        <v>25</v>
      </c>
      <c r="H1024" t="s">
        <v>15</v>
      </c>
      <c r="I1024">
        <v>0</v>
      </c>
      <c r="J1024" t="s">
        <v>16</v>
      </c>
      <c r="K1024" t="s">
        <v>17</v>
      </c>
      <c r="L1024">
        <v>63</v>
      </c>
      <c r="M1024" t="str">
        <f t="shared" si="15"/>
        <v>OLD</v>
      </c>
      <c r="N1024" t="s">
        <v>18</v>
      </c>
    </row>
    <row r="1025" spans="1:14" x14ac:dyDescent="0.35">
      <c r="A1025">
        <v>22400</v>
      </c>
      <c r="B1025" t="s">
        <v>36</v>
      </c>
      <c r="C1025" t="s">
        <v>38</v>
      </c>
      <c r="D1025" s="3">
        <v>10000</v>
      </c>
      <c r="E1025">
        <v>0</v>
      </c>
      <c r="F1025" t="s">
        <v>19</v>
      </c>
      <c r="G1025" t="s">
        <v>25</v>
      </c>
      <c r="H1025" t="s">
        <v>18</v>
      </c>
      <c r="I1025">
        <v>1</v>
      </c>
      <c r="J1025" t="s">
        <v>16</v>
      </c>
      <c r="K1025" t="s">
        <v>24</v>
      </c>
      <c r="L1025">
        <v>26</v>
      </c>
      <c r="M1025" t="str">
        <f t="shared" si="15"/>
        <v>Adolescent</v>
      </c>
      <c r="N1025" t="s">
        <v>15</v>
      </c>
    </row>
    <row r="1026" spans="1:14" x14ac:dyDescent="0.35">
      <c r="A1026">
        <v>20942</v>
      </c>
      <c r="B1026" t="s">
        <v>37</v>
      </c>
      <c r="C1026" t="s">
        <v>39</v>
      </c>
      <c r="D1026" s="3">
        <v>20000</v>
      </c>
      <c r="E1026">
        <v>0</v>
      </c>
      <c r="F1026" t="s">
        <v>27</v>
      </c>
      <c r="G1026" t="s">
        <v>25</v>
      </c>
      <c r="H1026" t="s">
        <v>18</v>
      </c>
      <c r="I1026">
        <v>1</v>
      </c>
      <c r="J1026" t="s">
        <v>23</v>
      </c>
      <c r="K1026" t="s">
        <v>17</v>
      </c>
      <c r="L1026">
        <v>31</v>
      </c>
      <c r="M1026" t="str">
        <f t="shared" si="15"/>
        <v>Middle Age</v>
      </c>
      <c r="N1026" t="s">
        <v>18</v>
      </c>
    </row>
    <row r="1027" spans="1:14" x14ac:dyDescent="0.35">
      <c r="A1027">
        <v>18484</v>
      </c>
      <c r="B1027" t="s">
        <v>37</v>
      </c>
      <c r="C1027" t="s">
        <v>38</v>
      </c>
      <c r="D1027" s="3">
        <v>80000</v>
      </c>
      <c r="E1027">
        <v>2</v>
      </c>
      <c r="F1027" t="s">
        <v>27</v>
      </c>
      <c r="G1027" t="s">
        <v>14</v>
      </c>
      <c r="H1027" t="s">
        <v>18</v>
      </c>
      <c r="I1027">
        <v>2</v>
      </c>
      <c r="J1027" t="s">
        <v>26</v>
      </c>
      <c r="K1027" t="s">
        <v>24</v>
      </c>
      <c r="L1027">
        <v>50</v>
      </c>
      <c r="M1027" t="str">
        <f t="shared" ref="M1027" si="16">IF(L1027&gt;55,"OLD",IF(L1027&gt;=31,"Middle Age",IF(L1027&lt;31,"Adolescent","Invalid")))</f>
        <v>Middle Age</v>
      </c>
      <c r="N1027" t="s">
        <v>15</v>
      </c>
    </row>
  </sheetData>
  <autoFilter ref="A1:N1027" xr:uid="{7E04B96F-8795-4168-B59F-C03924D0346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10BDE-3ED8-4039-B7F8-500E4AB9DC12}">
  <dimension ref="A1:D146"/>
  <sheetViews>
    <sheetView topLeftCell="B28" zoomScale="108" workbookViewId="0">
      <selection activeCell="M43" sqref="M43"/>
    </sheetView>
  </sheetViews>
  <sheetFormatPr defaultRowHeight="14.5" x14ac:dyDescent="0.35"/>
  <cols>
    <col min="1" max="1" width="21.54296875" bestFit="1" customWidth="1"/>
    <col min="2" max="2" width="15.26953125" style="6" bestFit="1" customWidth="1"/>
    <col min="3" max="3" width="3.81640625" bestFit="1" customWidth="1"/>
    <col min="4" max="5" width="10.7265625" bestFit="1" customWidth="1"/>
  </cols>
  <sheetData>
    <row r="1" spans="1:4" x14ac:dyDescent="0.35">
      <c r="A1" s="4" t="s">
        <v>44</v>
      </c>
      <c r="B1" s="4" t="s">
        <v>43</v>
      </c>
    </row>
    <row r="2" spans="1:4" x14ac:dyDescent="0.35">
      <c r="A2" s="4" t="s">
        <v>41</v>
      </c>
      <c r="B2" t="s">
        <v>18</v>
      </c>
      <c r="C2" t="s">
        <v>15</v>
      </c>
      <c r="D2" t="s">
        <v>42</v>
      </c>
    </row>
    <row r="3" spans="1:4" x14ac:dyDescent="0.35">
      <c r="A3" s="5" t="s">
        <v>39</v>
      </c>
      <c r="B3" s="7">
        <v>53449.612403100778</v>
      </c>
      <c r="C3" s="7">
        <v>55267.489711934155</v>
      </c>
      <c r="D3" s="7">
        <v>54331.337325349305</v>
      </c>
    </row>
    <row r="4" spans="1:4" x14ac:dyDescent="0.35">
      <c r="A4" s="5" t="s">
        <v>38</v>
      </c>
      <c r="B4" s="7">
        <v>56520.146520146518</v>
      </c>
      <c r="C4" s="7">
        <v>59603.174603174601</v>
      </c>
      <c r="D4" s="7">
        <v>58000</v>
      </c>
    </row>
    <row r="5" spans="1:4" x14ac:dyDescent="0.35">
      <c r="A5" s="5" t="s">
        <v>42</v>
      </c>
      <c r="B5" s="7">
        <v>55028.248587570619</v>
      </c>
      <c r="C5" s="7">
        <v>57474.747474747477</v>
      </c>
      <c r="D5" s="7">
        <v>56208.576998050681</v>
      </c>
    </row>
    <row r="6" spans="1:4" x14ac:dyDescent="0.35">
      <c r="B6"/>
    </row>
    <row r="7" spans="1:4" x14ac:dyDescent="0.35">
      <c r="B7"/>
    </row>
    <row r="8" spans="1:4" x14ac:dyDescent="0.35">
      <c r="B8"/>
    </row>
    <row r="23" spans="1:4" x14ac:dyDescent="0.35">
      <c r="A23" s="4" t="s">
        <v>45</v>
      </c>
      <c r="B23" s="4" t="s">
        <v>43</v>
      </c>
    </row>
    <row r="24" spans="1:4" x14ac:dyDescent="0.35">
      <c r="A24" s="4" t="s">
        <v>41</v>
      </c>
      <c r="B24" t="s">
        <v>18</v>
      </c>
      <c r="C24" t="s">
        <v>15</v>
      </c>
      <c r="D24" t="s">
        <v>42</v>
      </c>
    </row>
    <row r="25" spans="1:4" x14ac:dyDescent="0.35">
      <c r="A25" s="5" t="s">
        <v>16</v>
      </c>
      <c r="B25" s="8">
        <v>171</v>
      </c>
      <c r="C25" s="8">
        <v>207</v>
      </c>
      <c r="D25" s="8">
        <v>378</v>
      </c>
    </row>
    <row r="26" spans="1:4" x14ac:dyDescent="0.35">
      <c r="A26" s="5" t="s">
        <v>26</v>
      </c>
      <c r="B26" s="8">
        <v>93</v>
      </c>
      <c r="C26" s="8">
        <v>83</v>
      </c>
      <c r="D26" s="8">
        <v>176</v>
      </c>
    </row>
    <row r="27" spans="1:4" x14ac:dyDescent="0.35">
      <c r="A27" s="5" t="s">
        <v>22</v>
      </c>
      <c r="B27" s="8">
        <v>67</v>
      </c>
      <c r="C27" s="8">
        <v>95</v>
      </c>
      <c r="D27" s="8">
        <v>162</v>
      </c>
    </row>
    <row r="28" spans="1:4" x14ac:dyDescent="0.35">
      <c r="A28" s="5" t="s">
        <v>23</v>
      </c>
      <c r="B28" s="8">
        <v>120</v>
      </c>
      <c r="C28" s="8">
        <v>77</v>
      </c>
      <c r="D28" s="8">
        <v>197</v>
      </c>
    </row>
    <row r="29" spans="1:4" x14ac:dyDescent="0.35">
      <c r="A29" s="5" t="s">
        <v>46</v>
      </c>
      <c r="B29" s="8">
        <v>80</v>
      </c>
      <c r="C29" s="8">
        <v>33</v>
      </c>
      <c r="D29" s="8">
        <v>113</v>
      </c>
    </row>
    <row r="30" spans="1:4" x14ac:dyDescent="0.35">
      <c r="A30" s="5" t="s">
        <v>42</v>
      </c>
      <c r="B30" s="8">
        <v>531</v>
      </c>
      <c r="C30" s="8">
        <v>495</v>
      </c>
      <c r="D30" s="8">
        <v>1026</v>
      </c>
    </row>
    <row r="31" spans="1:4" x14ac:dyDescent="0.35">
      <c r="B31"/>
    </row>
    <row r="32" spans="1:4" x14ac:dyDescent="0.35">
      <c r="B32"/>
    </row>
    <row r="33" spans="1:4" x14ac:dyDescent="0.35">
      <c r="B33"/>
    </row>
    <row r="34" spans="1:4" x14ac:dyDescent="0.35">
      <c r="B34"/>
    </row>
    <row r="35" spans="1:4" x14ac:dyDescent="0.35">
      <c r="B35"/>
    </row>
    <row r="36" spans="1:4" x14ac:dyDescent="0.35">
      <c r="B36"/>
    </row>
    <row r="37" spans="1:4" x14ac:dyDescent="0.35">
      <c r="B37"/>
    </row>
    <row r="38" spans="1:4" x14ac:dyDescent="0.35">
      <c r="A38" s="4" t="s">
        <v>45</v>
      </c>
      <c r="B38" s="4" t="s">
        <v>43</v>
      </c>
    </row>
    <row r="39" spans="1:4" x14ac:dyDescent="0.35">
      <c r="A39" s="4" t="s">
        <v>41</v>
      </c>
      <c r="B39" t="s">
        <v>18</v>
      </c>
      <c r="C39" t="s">
        <v>15</v>
      </c>
      <c r="D39" t="s">
        <v>42</v>
      </c>
    </row>
    <row r="40" spans="1:4" x14ac:dyDescent="0.35">
      <c r="A40" s="5" t="s">
        <v>47</v>
      </c>
      <c r="B40" s="8">
        <v>71</v>
      </c>
      <c r="C40" s="8">
        <v>41</v>
      </c>
      <c r="D40" s="8">
        <v>112</v>
      </c>
    </row>
    <row r="41" spans="1:4" x14ac:dyDescent="0.35">
      <c r="A41" s="5" t="s">
        <v>48</v>
      </c>
      <c r="B41" s="8">
        <v>340</v>
      </c>
      <c r="C41" s="8">
        <v>399</v>
      </c>
      <c r="D41" s="8">
        <v>739</v>
      </c>
    </row>
    <row r="42" spans="1:4" x14ac:dyDescent="0.35">
      <c r="A42" s="5" t="s">
        <v>49</v>
      </c>
      <c r="B42" s="8">
        <v>120</v>
      </c>
      <c r="C42" s="8">
        <v>55</v>
      </c>
      <c r="D42" s="8">
        <v>175</v>
      </c>
    </row>
    <row r="43" spans="1:4" x14ac:dyDescent="0.35">
      <c r="A43" s="5" t="s">
        <v>42</v>
      </c>
      <c r="B43" s="8">
        <v>531</v>
      </c>
      <c r="C43" s="8">
        <v>495</v>
      </c>
      <c r="D43" s="8">
        <v>1026</v>
      </c>
    </row>
    <row r="44" spans="1:4" x14ac:dyDescent="0.35">
      <c r="B44"/>
    </row>
    <row r="45" spans="1:4" x14ac:dyDescent="0.35">
      <c r="B45"/>
    </row>
    <row r="46" spans="1:4" x14ac:dyDescent="0.35">
      <c r="B46"/>
    </row>
    <row r="47" spans="1:4" x14ac:dyDescent="0.35">
      <c r="B47"/>
    </row>
    <row r="48" spans="1:4"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9BBB-A976-46FA-938C-5D3AA5DE14DC}">
  <dimension ref="A1:J4"/>
  <sheetViews>
    <sheetView showGridLines="0" tabSelected="1" zoomScale="80" workbookViewId="0">
      <selection activeCell="M3" sqref="M3"/>
    </sheetView>
  </sheetViews>
  <sheetFormatPr defaultRowHeight="14.5" x14ac:dyDescent="0.35"/>
  <cols>
    <col min="5" max="5" width="12.08984375" customWidth="1"/>
    <col min="6" max="6" width="16.453125" customWidth="1"/>
    <col min="7" max="7" width="25.36328125" customWidth="1"/>
    <col min="8" max="8" width="18.54296875" customWidth="1"/>
    <col min="10" max="10" width="34.26953125" customWidth="1"/>
  </cols>
  <sheetData>
    <row r="1" spans="1:10" x14ac:dyDescent="0.35">
      <c r="A1" s="9" t="s">
        <v>50</v>
      </c>
      <c r="B1" s="10"/>
      <c r="C1" s="10"/>
      <c r="D1" s="10"/>
      <c r="E1" s="10"/>
      <c r="F1" s="10"/>
      <c r="G1" s="10"/>
      <c r="H1" s="10"/>
      <c r="I1" s="10"/>
      <c r="J1" s="10"/>
    </row>
    <row r="2" spans="1:10" x14ac:dyDescent="0.35">
      <c r="A2" s="10"/>
      <c r="B2" s="10"/>
      <c r="C2" s="10"/>
      <c r="D2" s="10"/>
      <c r="E2" s="10"/>
      <c r="F2" s="10"/>
      <c r="G2" s="10"/>
      <c r="H2" s="10"/>
      <c r="I2" s="10"/>
      <c r="J2" s="10"/>
    </row>
    <row r="3" spans="1:10" x14ac:dyDescent="0.35">
      <c r="A3" s="10"/>
      <c r="B3" s="10"/>
      <c r="C3" s="10"/>
      <c r="D3" s="10"/>
      <c r="E3" s="10"/>
      <c r="F3" s="10"/>
      <c r="G3" s="10"/>
      <c r="H3" s="10"/>
      <c r="I3" s="10"/>
      <c r="J3" s="10"/>
    </row>
    <row r="4" spans="1:10" x14ac:dyDescent="0.35">
      <c r="A4" s="10"/>
      <c r="B4" s="10"/>
      <c r="C4" s="10"/>
      <c r="D4" s="10"/>
      <c r="E4" s="10"/>
      <c r="F4" s="10"/>
      <c r="G4" s="10"/>
      <c r="H4" s="10"/>
      <c r="I4" s="10"/>
      <c r="J4" s="10"/>
    </row>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Shaik Mohammad</dc:creator>
  <cp:lastModifiedBy>Ayesha Shaik Mohammad</cp:lastModifiedBy>
  <dcterms:created xsi:type="dcterms:W3CDTF">2022-03-18T02:50:57Z</dcterms:created>
  <dcterms:modified xsi:type="dcterms:W3CDTF">2025-11-29T11:24:15Z</dcterms:modified>
</cp:coreProperties>
</file>